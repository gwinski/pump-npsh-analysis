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292" windowHeight="9000" firstSheet="1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<sst xmlns="http://schemas.openxmlformats.org/spreadsheetml/2006/main" count="98" uniqueCount="85">
  <si>
    <t>Flow(m^3/h)</t>
  </si>
  <si>
    <t>Head(m)</t>
  </si>
  <si>
    <t>Quantity</t>
  </si>
  <si>
    <t>Value or formula</t>
  </si>
  <si>
    <t>D (m)</t>
  </si>
  <si>
    <t>L (m)</t>
  </si>
  <si>
    <t>ε roughness (m)</t>
  </si>
  <si>
    <t>ρ (kg/m³)</t>
  </si>
  <si>
    <t>μ (kg/m·s)</t>
  </si>
  <si>
    <t>Q_ref (m³/h)</t>
  </si>
  <si>
    <t>A (m²)</t>
  </si>
  <si>
    <t>v (m/s)</t>
  </si>
  <si>
    <t>Re</t>
  </si>
  <si>
    <t>f0 (starting guess)</t>
  </si>
  <si>
    <t>f1</t>
  </si>
  <si>
    <t>f2 (Colebrook)</t>
  </si>
  <si>
    <r>
      <t>k</t>
    </r>
    <r>
      <rPr>
        <sz val="11"/>
        <color theme="1"/>
        <rFont val="Calibri"/>
        <charset val="134"/>
        <scheme val="minor"/>
      </rPr>
      <t xml:space="preserve"> (m/(m³/h)²)</t>
    </r>
  </si>
  <si>
    <t>k_s</t>
  </si>
  <si>
    <t>Flow</t>
  </si>
  <si>
    <t>Pump curve</t>
  </si>
  <si>
    <t>pipe line</t>
  </si>
  <si>
    <t>flow</t>
  </si>
  <si>
    <t>pump curve</t>
  </si>
  <si>
    <t>difference</t>
  </si>
  <si>
    <t>system curve(9m static head)</t>
  </si>
  <si>
    <t>Flow guess</t>
  </si>
  <si>
    <t>pump head</t>
  </si>
  <si>
    <t>pipe head</t>
  </si>
  <si>
    <t>dirty pipe, k = 0.002</t>
  </si>
  <si>
    <t>PV</t>
  </si>
  <si>
    <t>Npsha</t>
  </si>
  <si>
    <t>hf_suction</t>
  </si>
  <si>
    <t>NPSHR</t>
  </si>
  <si>
    <t>Margin</t>
  </si>
  <si>
    <t>Ratio</t>
  </si>
  <si>
    <t>TEMP</t>
  </si>
  <si>
    <t>pv</t>
  </si>
  <si>
    <t>rho</t>
  </si>
  <si>
    <t>NPSHA</t>
  </si>
  <si>
    <t>margin</t>
  </si>
  <si>
    <t>ratio</t>
  </si>
  <si>
    <t>verdict</t>
  </si>
  <si>
    <t>NPSHa 60C</t>
  </si>
  <si>
    <t>NPSHa 80C</t>
  </si>
  <si>
    <t>NPSHa 70C</t>
  </si>
  <si>
    <t>NPSHA 75 C</t>
  </si>
  <si>
    <t>z_suction</t>
  </si>
  <si>
    <t>Q_operating</t>
  </si>
  <si>
    <t>npshr_op</t>
  </si>
  <si>
    <t>Failure mode</t>
  </si>
  <si>
    <t>Effect</t>
  </si>
  <si>
    <t>Cause</t>
  </si>
  <si>
    <t>How to catch or prevent it</t>
  </si>
  <si>
    <t>S</t>
  </si>
  <si>
    <t>O</t>
  </si>
  <si>
    <t>D</t>
  </si>
  <si>
    <t>RPN</t>
  </si>
  <si>
    <t>Cavitation</t>
  </si>
  <si>
    <t>Impeller pitting, noise, vibration, loss of head</t>
  </si>
  <si>
    <t>NPSHa below NPSHr: 
hot water, suction lift, suction friction, high flow</t>
  </si>
  <si>
    <t>Keep water below about 71 °C (30% margin). 
Keep the suction pipe short. 
Listen for a gravel-like noise, watch vibration</t>
  </si>
  <si>
    <t>Impeller wear or erosion</t>
  </si>
  <si>
    <t>Head and flow slowly fall</t>
  </si>
  <si>
    <t>Cavitation, sand or solids in the water</t>
  </si>
  <si>
    <t>Compare against the pump curve periodically. 
Fit a strainer</t>
  </si>
  <si>
    <t>Blocked suction strainer or pipe</t>
  </si>
  <si>
    <t>Suction friction rises and NPSHa falls, which can cause cavitation</t>
  </si>
  <si>
    <t>Debris, scale</t>
  </si>
  <si>
    <t>Suction pressure gauge, clean the strainer on a schedule</t>
  </si>
  <si>
    <t>Loss of prime or dry running</t>
  </si>
  <si>
    <t>Overheating, seal and bearing damage</t>
  </si>
  <si>
    <t>Water level drops, air leak on the suction side (the 2 m lift makes this more likely)</t>
  </si>
  <si>
    <t>Low-level cutoff, check the foot valve, keep the suction pipe airtight</t>
  </si>
  <si>
    <t>Bearing failure</t>
  </si>
  <si>
    <t>Vibration, pump seizes</t>
  </si>
  <si>
    <t>Misalignment, poor lubrication</t>
  </si>
  <si>
    <t>Vibration and temperature checks, lubrication schedule</t>
  </si>
  <si>
    <t>Fouled discharge pipe</t>
  </si>
  <si>
    <t>Flow falls (your “dirty pipe” case: 79.4 down to 63.6 m³/h)</t>
  </si>
  <si>
    <t>Scale, corrosion</t>
  </si>
  <si>
    <t>Compare flow and head with the clean-pipe curve</t>
  </si>
  <si>
    <t>Mechanical seal leakage</t>
  </si>
  <si>
    <t>Water loss, bearing damage</t>
  </si>
  <si>
    <t>Wear, dry running</t>
  </si>
  <si>
    <t>Visual leak checks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</si>
</sst>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2" fontId="0" fillId="2" borderId="0" xfId="0" applyNumberFormat="1" applyFill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Head(m)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/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96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15.6</c:v>
                </c:pt>
                <c:pt idx="1">
                  <c:v>15.5</c:v>
                </c:pt>
                <c:pt idx="2">
                  <c:v>15.3</c:v>
                </c:pt>
                <c:pt idx="3">
                  <c:v>14.3</c:v>
                </c:pt>
                <c:pt idx="4">
                  <c:v>12.4</c:v>
                </c:pt>
                <c:pt idx="5">
                  <c:v>9.6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621118"/>
        <c:axId val="428011989"/>
      </c:scatterChart>
      <c:valAx>
        <c:axId val="3786211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8011989"/>
        <c:crosses val="autoZero"/>
        <c:crossBetween val="midCat"/>
      </c:valAx>
      <c:valAx>
        <c:axId val="4280119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62111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 plot of system curve against pump curve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Pump curve</c:v>
                </c:pt>
              </c:strCache>
            </c:strRef>
          </c:tx>
          <c:spPr>
            <a:ln w="19050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Sheet2!$A$2:$A$14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Sheet2!$B$2:$B$14</c:f>
              <c:numCache>
                <c:formatCode>General</c:formatCode>
                <c:ptCount val="13"/>
                <c:pt idx="0">
                  <c:v>15.6</c:v>
                </c:pt>
                <c:pt idx="1">
                  <c:v>15.55306048</c:v>
                </c:pt>
                <c:pt idx="2">
                  <c:v>15.52544384</c:v>
                </c:pt>
                <c:pt idx="3">
                  <c:v>15.48655296</c:v>
                </c:pt>
                <c:pt idx="4">
                  <c:v>15.40579072</c:v>
                </c:pt>
                <c:pt idx="5">
                  <c:v>15.25256</c:v>
                </c:pt>
                <c:pt idx="6">
                  <c:v>14.99626368</c:v>
                </c:pt>
                <c:pt idx="7">
                  <c:v>14.60630464</c:v>
                </c:pt>
                <c:pt idx="8">
                  <c:v>14.05208576</c:v>
                </c:pt>
                <c:pt idx="9">
                  <c:v>13.30300992</c:v>
                </c:pt>
                <c:pt idx="10">
                  <c:v>12.32848</c:v>
                </c:pt>
                <c:pt idx="11">
                  <c:v>11.09789888</c:v>
                </c:pt>
                <c:pt idx="12">
                  <c:v>9.58066944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pipe line</c:v>
                </c:pt>
              </c:strCache>
            </c:strRef>
          </c:tx>
          <c:spPr>
            <a:ln w="19050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Sheet2!$A$2:$A$14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Sheet2!$C$2:$C$14</c:f>
              <c:numCache>
                <c:formatCode>General</c:formatCode>
                <c:ptCount val="13"/>
                <c:pt idx="0">
                  <c:v>8</c:v>
                </c:pt>
                <c:pt idx="1">
                  <c:v>8.06998187147013</c:v>
                </c:pt>
                <c:pt idx="2">
                  <c:v>8.27992748588052</c:v>
                </c:pt>
                <c:pt idx="3">
                  <c:v>8.62983684323116</c:v>
                </c:pt>
                <c:pt idx="4">
                  <c:v>9.11970994352206</c:v>
                </c:pt>
                <c:pt idx="5">
                  <c:v>9.74954678675322</c:v>
                </c:pt>
                <c:pt idx="6">
                  <c:v>10.5193473729246</c:v>
                </c:pt>
                <c:pt idx="7">
                  <c:v>11.4291117020363</c:v>
                </c:pt>
                <c:pt idx="8">
                  <c:v>12.4788397740883</c:v>
                </c:pt>
                <c:pt idx="9">
                  <c:v>13.6685315890804</c:v>
                </c:pt>
                <c:pt idx="10">
                  <c:v>14.9981871470129</c:v>
                </c:pt>
                <c:pt idx="11">
                  <c:v>16.4678064478856</c:v>
                </c:pt>
                <c:pt idx="12">
                  <c:v>18.0773894916986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15711"/>
        <c:axId val="991722815"/>
      </c:scatterChart>
      <c:valAx>
        <c:axId val="176115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FLOW(m^3/h)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722815"/>
        <c:crosses val="autoZero"/>
        <c:crossBetween val="midCat"/>
      </c:valAx>
      <c:valAx>
        <c:axId val="9917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HEAD(m)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11571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 plot of system curve against pump curve (higher static head)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system curve(9m static head)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Sheet3!$B$2:$B$14</c:f>
              <c:numCache>
                <c:formatCode>General</c:formatCode>
                <c:ptCount val="13"/>
                <c:pt idx="0">
                  <c:v>9</c:v>
                </c:pt>
                <c:pt idx="1">
                  <c:v>9.06998187147013</c:v>
                </c:pt>
                <c:pt idx="2">
                  <c:v>9.27992748588052</c:v>
                </c:pt>
                <c:pt idx="3">
                  <c:v>9.62983684323116</c:v>
                </c:pt>
                <c:pt idx="4">
                  <c:v>10.1197099435221</c:v>
                </c:pt>
                <c:pt idx="5">
                  <c:v>10.7495467867532</c:v>
                </c:pt>
                <c:pt idx="6">
                  <c:v>11.5193473729246</c:v>
                </c:pt>
                <c:pt idx="7">
                  <c:v>12.4291117020363</c:v>
                </c:pt>
                <c:pt idx="8">
                  <c:v>13.4788397740883</c:v>
                </c:pt>
                <c:pt idx="9">
                  <c:v>14.6685315890804</c:v>
                </c:pt>
                <c:pt idx="10">
                  <c:v>15.9981871470129</c:v>
                </c:pt>
                <c:pt idx="11">
                  <c:v>17.4678064478856</c:v>
                </c:pt>
                <c:pt idx="12">
                  <c:v>19.0773894916986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pump curve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Sheet3!$A$2:$A$14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Sheet3!$C$2:$C$14</c:f>
              <c:numCache>
                <c:formatCode>General</c:formatCode>
                <c:ptCount val="13"/>
                <c:pt idx="0">
                  <c:v>15.6</c:v>
                </c:pt>
                <c:pt idx="1">
                  <c:v>15.55306048</c:v>
                </c:pt>
                <c:pt idx="2">
                  <c:v>15.52544384</c:v>
                </c:pt>
                <c:pt idx="3">
                  <c:v>15.48655296</c:v>
                </c:pt>
                <c:pt idx="4">
                  <c:v>15.40579072</c:v>
                </c:pt>
                <c:pt idx="5">
                  <c:v>15.25256</c:v>
                </c:pt>
                <c:pt idx="6">
                  <c:v>14.99626368</c:v>
                </c:pt>
                <c:pt idx="7">
                  <c:v>14.60630464</c:v>
                </c:pt>
                <c:pt idx="8">
                  <c:v>14.05208576</c:v>
                </c:pt>
                <c:pt idx="9">
                  <c:v>13.30300992</c:v>
                </c:pt>
                <c:pt idx="10">
                  <c:v>12.32848</c:v>
                </c:pt>
                <c:pt idx="11">
                  <c:v>11.09789888</c:v>
                </c:pt>
                <c:pt idx="12">
                  <c:v>9.58066944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08857"/>
        <c:axId val="698160263"/>
      </c:scatterChart>
      <c:valAx>
        <c:axId val="1459088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FLOW(m^3/h)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8160263"/>
        <c:crosses val="autoZero"/>
        <c:crossBetween val="midCat"/>
      </c:valAx>
      <c:valAx>
        <c:axId val="698160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HEAD(m)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9088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 plot of system curve against pump curve (dirty pipe, k = 0.002)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dirty pipe, k = 0.002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Sheet4!$A$2:$A$14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Sheet4!$B$2:$B$14</c:f>
              <c:numCache>
                <c:formatCode>General</c:formatCode>
                <c:ptCount val="13"/>
                <c:pt idx="0">
                  <c:v>8</c:v>
                </c:pt>
                <c:pt idx="1">
                  <c:v>8.128</c:v>
                </c:pt>
                <c:pt idx="2">
                  <c:v>8.512</c:v>
                </c:pt>
                <c:pt idx="3">
                  <c:v>9.152</c:v>
                </c:pt>
                <c:pt idx="4">
                  <c:v>10.048</c:v>
                </c:pt>
                <c:pt idx="5">
                  <c:v>11.2</c:v>
                </c:pt>
                <c:pt idx="6">
                  <c:v>12.608</c:v>
                </c:pt>
                <c:pt idx="7">
                  <c:v>14.272</c:v>
                </c:pt>
                <c:pt idx="8">
                  <c:v>16.192</c:v>
                </c:pt>
                <c:pt idx="9">
                  <c:v>18.368</c:v>
                </c:pt>
                <c:pt idx="10">
                  <c:v>20.8</c:v>
                </c:pt>
                <c:pt idx="11">
                  <c:v>23.488</c:v>
                </c:pt>
                <c:pt idx="12">
                  <c:v>26.432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Pump curve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Sheet4!$A$2:$A$14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Sheet4!$C$2:$C$14</c:f>
              <c:numCache>
                <c:formatCode>General</c:formatCode>
                <c:ptCount val="13"/>
                <c:pt idx="0">
                  <c:v>15.6</c:v>
                </c:pt>
                <c:pt idx="1">
                  <c:v>15.55306048</c:v>
                </c:pt>
                <c:pt idx="2">
                  <c:v>15.52544384</c:v>
                </c:pt>
                <c:pt idx="3">
                  <c:v>15.48655296</c:v>
                </c:pt>
                <c:pt idx="4">
                  <c:v>15.40579072</c:v>
                </c:pt>
                <c:pt idx="5">
                  <c:v>15.25256</c:v>
                </c:pt>
                <c:pt idx="6">
                  <c:v>14.99626368</c:v>
                </c:pt>
                <c:pt idx="7">
                  <c:v>14.60630464</c:v>
                </c:pt>
                <c:pt idx="8">
                  <c:v>14.05208576</c:v>
                </c:pt>
                <c:pt idx="9">
                  <c:v>13.30300992</c:v>
                </c:pt>
                <c:pt idx="10">
                  <c:v>12.32848</c:v>
                </c:pt>
                <c:pt idx="11">
                  <c:v>11.09789888</c:v>
                </c:pt>
                <c:pt idx="12">
                  <c:v>9.58066944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828203"/>
        <c:axId val="614780103"/>
      </c:scatterChart>
      <c:valAx>
        <c:axId val="6328282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FLOW(m^3/h)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780103"/>
        <c:crosses val="autoZero"/>
        <c:crossBetween val="midCat"/>
      </c:valAx>
      <c:valAx>
        <c:axId val="61478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HEAD(m)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28282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NPSHa and NPSHr against flow, 25 to 80 °C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1"/>
          <c:order val="1"/>
          <c:tx>
            <c:strRef>
              <c:f>"NPSHR"</c:f>
              <c:strCache>
                <c:ptCount val="1"/>
                <c:pt idx="0">
                  <c:v>NPSHR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Sheet5!$E$2:$E$14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Sheet5!$H$2:$H$14</c:f>
              <c:numCache>
                <c:formatCode>General</c:formatCode>
                <c:ptCount val="13"/>
                <c:pt idx="0">
                  <c:v>3.1</c:v>
                </c:pt>
                <c:pt idx="1">
                  <c:v>3.1</c:v>
                </c:pt>
                <c:pt idx="2">
                  <c:v>3.1</c:v>
                </c:pt>
                <c:pt idx="3">
                  <c:v>3.1</c:v>
                </c:pt>
                <c:pt idx="4">
                  <c:v>3.1</c:v>
                </c:pt>
                <c:pt idx="5">
                  <c:v>3.1</c:v>
                </c:pt>
                <c:pt idx="6">
                  <c:v>3.1</c:v>
                </c:pt>
                <c:pt idx="7">
                  <c:v>3.1</c:v>
                </c:pt>
                <c:pt idx="8">
                  <c:v>3.3</c:v>
                </c:pt>
                <c:pt idx="9">
                  <c:v>3.8</c:v>
                </c:pt>
                <c:pt idx="10">
                  <c:v>4.2</c:v>
                </c:pt>
                <c:pt idx="11">
                  <c:v>5.3</c:v>
                </c:pt>
                <c:pt idx="12">
                  <c:v>6.3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"NPSHa 25C"</c:f>
              <c:strCache>
                <c:ptCount val="1"/>
                <c:pt idx="0">
                  <c:v>NPSHa 25C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Sheet5!$E$2:$E$14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Sheet5!$F$2:$F$14</c:f>
              <c:numCache>
                <c:formatCode>General</c:formatCode>
                <c:ptCount val="13"/>
                <c:pt idx="0">
                  <c:v>8.03264635905678</c:v>
                </c:pt>
                <c:pt idx="1">
                  <c:v>8.02896310266362</c:v>
                </c:pt>
                <c:pt idx="2">
                  <c:v>8.01791333348413</c:v>
                </c:pt>
                <c:pt idx="3">
                  <c:v>7.9994970515183</c:v>
                </c:pt>
                <c:pt idx="4">
                  <c:v>7.97371425676615</c:v>
                </c:pt>
                <c:pt idx="5">
                  <c:v>7.94056494922767</c:v>
                </c:pt>
                <c:pt idx="6">
                  <c:v>7.90004912890286</c:v>
                </c:pt>
                <c:pt idx="7">
                  <c:v>7.85216679579171</c:v>
                </c:pt>
                <c:pt idx="8">
                  <c:v>7.79691794989424</c:v>
                </c:pt>
                <c:pt idx="9">
                  <c:v>7.73430259121044</c:v>
                </c:pt>
                <c:pt idx="10">
                  <c:v>7.66432071974032</c:v>
                </c:pt>
                <c:pt idx="11">
                  <c:v>7.58697233548386</c:v>
                </c:pt>
                <c:pt idx="12">
                  <c:v>7.50225743844107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"NPSHa 60C"</c:f>
              <c:strCache>
                <c:ptCount val="1"/>
                <c:pt idx="0">
                  <c:v>NPSHa 60C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Sheet5!$E$2:$E$14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Sheet5!$T$2:$T$14</c:f>
              <c:numCache>
                <c:formatCode>General</c:formatCode>
                <c:ptCount val="13"/>
                <c:pt idx="0">
                  <c:v>6.44374758250088</c:v>
                </c:pt>
                <c:pt idx="1">
                  <c:v>6.44006432610772</c:v>
                </c:pt>
                <c:pt idx="2">
                  <c:v>6.42901455692823</c:v>
                </c:pt>
                <c:pt idx="3">
                  <c:v>6.4105982749624</c:v>
                </c:pt>
                <c:pt idx="4">
                  <c:v>6.38481548021025</c:v>
                </c:pt>
                <c:pt idx="5">
                  <c:v>6.35166617267177</c:v>
                </c:pt>
                <c:pt idx="6">
                  <c:v>6.31115035234696</c:v>
                </c:pt>
                <c:pt idx="7">
                  <c:v>6.26326801923582</c:v>
                </c:pt>
                <c:pt idx="8">
                  <c:v>6.20801917333835</c:v>
                </c:pt>
                <c:pt idx="9">
                  <c:v>6.14540381465455</c:v>
                </c:pt>
                <c:pt idx="10">
                  <c:v>6.07542194318442</c:v>
                </c:pt>
                <c:pt idx="11">
                  <c:v>5.99807355892796</c:v>
                </c:pt>
                <c:pt idx="12">
                  <c:v>5.91335866188517</c:v>
                </c:pt>
              </c:numCache>
            </c:numRef>
          </c:yVal>
          <c:smooth val="1"/>
        </c:ser>
        <c:ser>
          <c:idx val="5"/>
          <c:order val="4"/>
          <c:tx>
            <c:strRef>
              <c:f>"NPSHa 70C"</c:f>
              <c:strCache>
                <c:ptCount val="1"/>
                <c:pt idx="0">
                  <c:v>NPSHa 70C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Sheet5!$E$2:$E$14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Sheet5!$V$2:$V$14</c:f>
              <c:numCache>
                <c:formatCode>General</c:formatCode>
                <c:ptCount val="13"/>
                <c:pt idx="0">
                  <c:v>5.30911865318349</c:v>
                </c:pt>
                <c:pt idx="1">
                  <c:v>5.30543539679033</c:v>
                </c:pt>
                <c:pt idx="2">
                  <c:v>5.29438562761083</c:v>
                </c:pt>
                <c:pt idx="3">
                  <c:v>5.27596934564501</c:v>
                </c:pt>
                <c:pt idx="4">
                  <c:v>5.25018655089286</c:v>
                </c:pt>
                <c:pt idx="5">
                  <c:v>5.21703724335438</c:v>
                </c:pt>
                <c:pt idx="6">
                  <c:v>5.17652142302956</c:v>
                </c:pt>
                <c:pt idx="7">
                  <c:v>5.12863908991842</c:v>
                </c:pt>
                <c:pt idx="8">
                  <c:v>5.07339024402095</c:v>
                </c:pt>
                <c:pt idx="9">
                  <c:v>5.01077488533715</c:v>
                </c:pt>
                <c:pt idx="10">
                  <c:v>4.94079301386702</c:v>
                </c:pt>
                <c:pt idx="11">
                  <c:v>4.86344462961057</c:v>
                </c:pt>
                <c:pt idx="12">
                  <c:v>4.77872973256778</c:v>
                </c:pt>
              </c:numCache>
            </c:numRef>
          </c:yVal>
          <c:smooth val="1"/>
        </c:ser>
        <c:ser>
          <c:idx val="6"/>
          <c:order val="5"/>
          <c:tx>
            <c:strRef>
              <c:f>"NPSHa 75C"</c:f>
              <c:strCache>
                <c:ptCount val="1"/>
                <c:pt idx="0">
                  <c:v>NPSHa 75C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Sheet5!$E$2:$E$14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Sheet5!$W$2:$W$14</c:f>
              <c:numCache>
                <c:formatCode>General</c:formatCode>
                <c:ptCount val="13"/>
                <c:pt idx="0">
                  <c:v>4.55793408086986</c:v>
                </c:pt>
                <c:pt idx="1">
                  <c:v>4.5542508244767</c:v>
                </c:pt>
                <c:pt idx="2">
                  <c:v>4.5432010552972</c:v>
                </c:pt>
                <c:pt idx="3">
                  <c:v>4.52478477333138</c:v>
                </c:pt>
                <c:pt idx="4">
                  <c:v>4.49900197857923</c:v>
                </c:pt>
                <c:pt idx="5">
                  <c:v>4.46585267104074</c:v>
                </c:pt>
                <c:pt idx="6">
                  <c:v>4.42533685071593</c:v>
                </c:pt>
                <c:pt idx="7">
                  <c:v>4.37745451760479</c:v>
                </c:pt>
                <c:pt idx="8">
                  <c:v>4.32220567170732</c:v>
                </c:pt>
                <c:pt idx="9">
                  <c:v>4.25959031302352</c:v>
                </c:pt>
                <c:pt idx="10">
                  <c:v>4.18960844155339</c:v>
                </c:pt>
                <c:pt idx="11">
                  <c:v>4.11226005729693</c:v>
                </c:pt>
                <c:pt idx="12">
                  <c:v>4.02754516025415</c:v>
                </c:pt>
              </c:numCache>
            </c:numRef>
          </c:yVal>
          <c:smooth val="1"/>
        </c:ser>
        <c:ser>
          <c:idx val="4"/>
          <c:order val="6"/>
          <c:tx>
            <c:strRef>
              <c:f>"NPSHa 80C"</c:f>
              <c:strCache>
                <c:ptCount val="1"/>
                <c:pt idx="0">
                  <c:v>NPSHa 80C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Sheet5!$E$2:$E$14</c:f>
              <c:numCache>
                <c:formatCode>General</c:formatCode>
                <c:ptCount val="13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</c:numCache>
            </c:numRef>
          </c:xVal>
          <c:yVal>
            <c:numRef>
              <c:f>Sheet5!$U$2:$U$14</c:f>
              <c:numCache>
                <c:formatCode>General</c:formatCode>
                <c:ptCount val="13"/>
                <c:pt idx="0">
                  <c:v>3.65529001648608</c:v>
                </c:pt>
                <c:pt idx="1">
                  <c:v>3.65160676009291</c:v>
                </c:pt>
                <c:pt idx="2">
                  <c:v>3.64055699091342</c:v>
                </c:pt>
                <c:pt idx="3">
                  <c:v>3.62214070894759</c:v>
                </c:pt>
                <c:pt idx="4">
                  <c:v>3.59635791419544</c:v>
                </c:pt>
                <c:pt idx="5">
                  <c:v>3.56320860665696</c:v>
                </c:pt>
                <c:pt idx="6">
                  <c:v>3.52269278633215</c:v>
                </c:pt>
                <c:pt idx="7">
                  <c:v>3.47481045322101</c:v>
                </c:pt>
                <c:pt idx="8">
                  <c:v>3.41956160732354</c:v>
                </c:pt>
                <c:pt idx="9">
                  <c:v>3.35694624863974</c:v>
                </c:pt>
                <c:pt idx="10">
                  <c:v>3.28696437716961</c:v>
                </c:pt>
                <c:pt idx="11">
                  <c:v>3.20961599291315</c:v>
                </c:pt>
                <c:pt idx="12">
                  <c:v>3.12490109587036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958994"/>
        <c:axId val="1509781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"Y-Values"</c15:sqref>
                        </c15:formulaRef>
                      </c:ext>
                    </c:extLst>
                    <c:strCache>
                      <c:ptCount val="1"/>
                      <c:pt idx="0">
                        <c:v>Y-Values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xVal>
                  <c:numRef>
                    <c:f>{0.7,1.8,2.6}</c:f>
                    <c:numCache>
                      <c:formatCode>General</c:formatCode>
                      <c:ptCount val="3"/>
                      <c:pt idx="0">
                        <c:v>0.7</c:v>
                      </c:pt>
                      <c:pt idx="1">
                        <c:v>1.8</c:v>
                      </c:pt>
                      <c:pt idx="2">
                        <c:v>2.6</c:v>
                      </c:pt>
                    </c:numCache>
                  </c:numRef>
                </c:xVal>
                <c:yVal>
                  <c:numRef>
                    <c:f>{2.7,3.2,0.8}</c:f>
                    <c:numCache>
                      <c:formatCode>General</c:formatCode>
                      <c:ptCount val="3"/>
                      <c:pt idx="0">
                        <c:v>2.7</c:v>
                      </c:pt>
                      <c:pt idx="1">
                        <c:v>3.2</c:v>
                      </c:pt>
                      <c:pt idx="2">
                        <c:v>0.8</c:v>
                      </c:pt>
                    </c:numCache>
                  </c:numRef>
                </c:yVal>
                <c:smooth val="1"/>
              </c15:ser>
            </c15:filteredScatterSeries>
          </c:ext>
        </c:extLst>
      </c:scatterChart>
      <c:valAx>
        <c:axId val="2629589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FLOW(m^3/h)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978171"/>
        <c:crosses val="autoZero"/>
        <c:crossBetween val="midCat"/>
      </c:valAx>
      <c:valAx>
        <c:axId val="1509781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NPSH(m)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295899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472440</xdr:colOff>
      <xdr:row>17</xdr:row>
      <xdr:rowOff>20320</xdr:rowOff>
    </xdr:from>
    <xdr:to>
      <xdr:col>8</xdr:col>
      <xdr:colOff>421640</xdr:colOff>
      <xdr:row>32</xdr:row>
      <xdr:rowOff>20320</xdr:rowOff>
    </xdr:to>
    <xdr:graphicFrame>
      <xdr:nvGraphicFramePr>
        <xdr:cNvPr id="6" name="Chart 5"/>
        <xdr:cNvGraphicFramePr/>
      </xdr:nvGraphicFramePr>
      <xdr:xfrm>
        <a:off x="472440" y="4958080"/>
        <a:ext cx="5100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41275</xdr:colOff>
      <xdr:row>6</xdr:row>
      <xdr:rowOff>31115</xdr:rowOff>
    </xdr:from>
    <xdr:to>
      <xdr:col>10</xdr:col>
      <xdr:colOff>600075</xdr:colOff>
      <xdr:row>21</xdr:row>
      <xdr:rowOff>31115</xdr:rowOff>
    </xdr:to>
    <xdr:graphicFrame>
      <xdr:nvGraphicFramePr>
        <xdr:cNvPr id="2" name="Chart 1"/>
        <xdr:cNvGraphicFramePr/>
      </xdr:nvGraphicFramePr>
      <xdr:xfrm>
        <a:off x="2418715" y="1128395"/>
        <a:ext cx="55803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99060</xdr:colOff>
      <xdr:row>5</xdr:row>
      <xdr:rowOff>12700</xdr:rowOff>
    </xdr:from>
    <xdr:to>
      <xdr:col>10</xdr:col>
      <xdr:colOff>574040</xdr:colOff>
      <xdr:row>20</xdr:row>
      <xdr:rowOff>12700</xdr:rowOff>
    </xdr:to>
    <xdr:graphicFrame>
      <xdr:nvGraphicFramePr>
        <xdr:cNvPr id="2" name="Chart 1"/>
        <xdr:cNvGraphicFramePr/>
      </xdr:nvGraphicFramePr>
      <xdr:xfrm>
        <a:off x="2476500" y="927100"/>
        <a:ext cx="51003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139700</xdr:colOff>
      <xdr:row>5</xdr:row>
      <xdr:rowOff>35560</xdr:rowOff>
    </xdr:from>
    <xdr:to>
      <xdr:col>10</xdr:col>
      <xdr:colOff>340360</xdr:colOff>
      <xdr:row>20</xdr:row>
      <xdr:rowOff>35560</xdr:rowOff>
    </xdr:to>
    <xdr:graphicFrame>
      <xdr:nvGraphicFramePr>
        <xdr:cNvPr id="2" name="Chart 1"/>
        <xdr:cNvGraphicFramePr/>
      </xdr:nvGraphicFramePr>
      <xdr:xfrm>
        <a:off x="2242820" y="9499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264160</xdr:colOff>
      <xdr:row>9</xdr:row>
      <xdr:rowOff>35560</xdr:rowOff>
    </xdr:from>
    <xdr:to>
      <xdr:col>18</xdr:col>
      <xdr:colOff>525780</xdr:colOff>
      <xdr:row>24</xdr:row>
      <xdr:rowOff>35560</xdr:rowOff>
    </xdr:to>
    <xdr:graphicFrame>
      <xdr:nvGraphicFramePr>
        <xdr:cNvPr id="2" name="Chart 1"/>
        <xdr:cNvGraphicFramePr/>
      </xdr:nvGraphicFramePr>
      <xdr:xfrm>
        <a:off x="8729980" y="16814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F14" sqref="F14"/>
    </sheetView>
  </sheetViews>
  <sheetFormatPr defaultColWidth="8.88888888888889" defaultRowHeight="14.4" outlineLevelCol="5"/>
  <cols>
    <col min="6" max="6" width="12.8888888888889"/>
  </cols>
  <sheetData>
    <row r="1" ht="28.8" spans="1:6">
      <c r="A1" t="s">
        <v>0</v>
      </c>
      <c r="B1" t="s">
        <v>1</v>
      </c>
      <c r="C1"/>
      <c r="E1" s="6" t="s">
        <v>2</v>
      </c>
      <c r="F1" s="6" t="s">
        <v>3</v>
      </c>
    </row>
    <row r="2" spans="1:6">
      <c r="A2">
        <v>0</v>
      </c>
      <c r="B2">
        <v>15.6</v>
      </c>
      <c r="C2"/>
      <c r="E2" s="7" t="s">
        <v>4</v>
      </c>
      <c r="F2" s="7">
        <v>0.1</v>
      </c>
    </row>
    <row r="3" spans="1:6">
      <c r="A3">
        <v>20</v>
      </c>
      <c r="B3">
        <v>15.5</v>
      </c>
      <c r="C3"/>
      <c r="E3" s="7" t="s">
        <v>5</v>
      </c>
      <c r="F3" s="7">
        <v>95</v>
      </c>
    </row>
    <row r="4" ht="43.2" spans="1:6">
      <c r="A4">
        <v>40</v>
      </c>
      <c r="B4">
        <v>15.3</v>
      </c>
      <c r="C4"/>
      <c r="E4" s="7" t="s">
        <v>6</v>
      </c>
      <c r="F4" s="7">
        <v>4.57e-5</v>
      </c>
    </row>
    <row r="5" spans="1:6">
      <c r="A5">
        <v>60</v>
      </c>
      <c r="B5">
        <v>14.3</v>
      </c>
      <c r="C5"/>
      <c r="E5" s="7" t="s">
        <v>7</v>
      </c>
      <c r="F5" s="7">
        <v>997</v>
      </c>
    </row>
    <row r="6" spans="1:6">
      <c r="A6">
        <v>80</v>
      </c>
      <c r="B6">
        <v>12.4</v>
      </c>
      <c r="C6"/>
      <c r="E6" s="7" t="s">
        <v>8</v>
      </c>
      <c r="F6" s="7">
        <v>0.000891</v>
      </c>
    </row>
    <row r="7" ht="28.8" spans="1:6">
      <c r="A7">
        <v>96</v>
      </c>
      <c r="B7">
        <v>9.6</v>
      </c>
      <c r="C7"/>
      <c r="E7" s="7" t="s">
        <v>9</v>
      </c>
      <c r="F7" s="7">
        <v>71</v>
      </c>
    </row>
    <row r="8" spans="1:6">
      <c r="E8" s="7" t="s">
        <v>10</v>
      </c>
      <c r="F8" s="7">
        <f>PI()*F2^2/4</f>
        <v>0.00785398163397448</v>
      </c>
    </row>
    <row r="9" spans="1:6">
      <c r="E9" s="7" t="s">
        <v>11</v>
      </c>
      <c r="F9" s="7">
        <f>F7/3600/F8</f>
        <v>2.51111132433879</v>
      </c>
    </row>
    <row r="10" spans="1:6">
      <c r="E10" s="7" t="s">
        <v>12</v>
      </c>
      <c r="F10" s="7">
        <f>F5*F9*F2/F6</f>
        <v>280985.184103903</v>
      </c>
    </row>
    <row r="11" ht="43.2" spans="1:6">
      <c r="E11" s="7" t="s">
        <v>13</v>
      </c>
      <c r="F11" s="7">
        <f>0.25/LOG10(F4/(3.7*F2)+5.74/F10^0.9)^2</f>
        <v>0.0181666672049591</v>
      </c>
    </row>
    <row r="12" spans="1:6">
      <c r="E12" s="7" t="s">
        <v>14</v>
      </c>
      <c r="F12" s="7">
        <f>1/(-2*LOG10(F4/(3.7*F2)+2.51/(F10*SQRT(F11))))^2</f>
        <v>0.0180488902314492</v>
      </c>
    </row>
    <row r="13" ht="43.2" spans="1:6">
      <c r="E13" s="7" t="s">
        <v>15</v>
      </c>
      <c r="F13" s="7">
        <f>1/(-2*LOG10(F4/(3.7*F2)+2.51/(F10*SQRT(F12))))^2</f>
        <v>0.0180536799990907</v>
      </c>
    </row>
    <row r="14" ht="43.2" spans="1:6">
      <c r="E14" s="8" t="s">
        <v>16</v>
      </c>
      <c r="F14" s="7">
        <f>F13*F3/(2*9.81*F2*F8^2)/3600^2</f>
        <v>0.00109346674172076</v>
      </c>
    </row>
    <row r="15" spans="1:6">
      <c r="E15" s="8" t="s">
        <v>17</v>
      </c>
      <c r="F15" s="7">
        <f>F14*5/95</f>
        <v>5.75508811431981e-5</v>
      </c>
    </row>
    <row r="23" spans="3:3">
      <c r="C23">
        <f>SQRT((50-10)/(0.003+0.0036))</f>
        <v>77.8498944161523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S16" sqref="S16"/>
    </sheetView>
  </sheetViews>
  <sheetFormatPr defaultColWidth="8.88888888888889" defaultRowHeight="14.4"/>
  <cols>
    <col min="2" max="4" width="12.8888888888889"/>
    <col min="5" max="5" width="10.6666666666667"/>
    <col min="10" max="10" width="14.1111111111111"/>
  </cols>
  <sheetData>
    <row r="1" spans="1:10">
      <c r="A1" t="s">
        <v>18</v>
      </c>
      <c r="B1" t="s">
        <v>19</v>
      </c>
      <c r="C1" t="s">
        <v>20</v>
      </c>
      <c r="D1"/>
      <c r="E1"/>
      <c r="I1" t="s">
        <v>21</v>
      </c>
      <c r="J1">
        <v>70.5958449948764</v>
      </c>
    </row>
    <row r="2" spans="1:10">
      <c r="A2">
        <v>0</v>
      </c>
      <c r="B2">
        <f>15.6-0.00000996*A2^3+0.00039*A2^2-0.00835*A2</f>
        <v>15.6</v>
      </c>
      <c r="C2">
        <f>8+Sheet1!$F$14*A2^2</f>
        <v>8</v>
      </c>
      <c r="I2" t="s">
        <v>22</v>
      </c>
      <c r="J2">
        <f>15.6-0.00000996*J1^3+0.00039*J1^2-0.00835*J1</f>
        <v>13.4499327454605</v>
      </c>
    </row>
    <row r="3" spans="1:10">
      <c r="A3">
        <v>8</v>
      </c>
      <c r="B3">
        <f t="shared" ref="B3:B14" si="0">15.6-0.00000996*A3^3+0.00039*A3^2-0.00835*A3</f>
        <v>15.55306048</v>
      </c>
      <c r="C3">
        <f>8+Sheet1!$F$14*A3^2</f>
        <v>8.06998187147013</v>
      </c>
      <c r="I3" t="s">
        <v>20</v>
      </c>
      <c r="J3">
        <f>8+Sheet1!$F$14*J1^2</f>
        <v>13.4495903852211</v>
      </c>
    </row>
    <row r="4" spans="1:10">
      <c r="A4">
        <v>16</v>
      </c>
      <c r="B4">
        <f t="shared" si="0"/>
        <v>15.52544384</v>
      </c>
      <c r="C4">
        <f>8+Sheet1!$F$14*A4^2</f>
        <v>8.27992748588052</v>
      </c>
      <c r="I4" t="s">
        <v>23</v>
      </c>
      <c r="J4">
        <f>J2-J3</f>
        <v>0.000342360239381279</v>
      </c>
    </row>
    <row r="5" spans="1:10">
      <c r="A5">
        <v>24</v>
      </c>
      <c r="B5">
        <f t="shared" si="0"/>
        <v>15.48655296</v>
      </c>
      <c r="C5">
        <f>8+Sheet1!$F$14*A5^2</f>
        <v>8.62983684323116</v>
      </c>
    </row>
    <row r="6" spans="1:10">
      <c r="A6">
        <v>32</v>
      </c>
      <c r="B6">
        <f t="shared" si="0"/>
        <v>15.40579072</v>
      </c>
      <c r="C6">
        <f>8+Sheet1!$F$14*A6^2</f>
        <v>9.11970994352206</v>
      </c>
    </row>
    <row r="7" spans="1:10">
      <c r="A7">
        <v>40</v>
      </c>
      <c r="B7">
        <f t="shared" si="0"/>
        <v>15.25256</v>
      </c>
      <c r="C7">
        <f>8+Sheet1!$F$14*A7^2</f>
        <v>9.74954678675322</v>
      </c>
    </row>
    <row r="8" spans="1:10">
      <c r="A8">
        <v>48</v>
      </c>
      <c r="B8">
        <f t="shared" si="0"/>
        <v>14.99626368</v>
      </c>
      <c r="C8">
        <f>8+Sheet1!$F$14*A8^2</f>
        <v>10.5193473729246</v>
      </c>
    </row>
    <row r="9" spans="1:10">
      <c r="A9">
        <v>56</v>
      </c>
      <c r="B9">
        <f t="shared" si="0"/>
        <v>14.60630464</v>
      </c>
      <c r="C9">
        <f>8+Sheet1!$F$14*A9^2</f>
        <v>11.4291117020363</v>
      </c>
    </row>
    <row r="10" spans="1:10">
      <c r="A10">
        <v>64</v>
      </c>
      <c r="B10">
        <f t="shared" si="0"/>
        <v>14.05208576</v>
      </c>
      <c r="C10">
        <f>8+Sheet1!$F$14*A10^2</f>
        <v>12.4788397740883</v>
      </c>
    </row>
    <row r="11" spans="1:10">
      <c r="A11">
        <v>72</v>
      </c>
      <c r="B11">
        <f t="shared" si="0"/>
        <v>13.30300992</v>
      </c>
      <c r="C11">
        <f>8+Sheet1!$F$14*A11^2</f>
        <v>13.6685315890804</v>
      </c>
    </row>
    <row r="12" spans="1:10">
      <c r="A12">
        <v>80</v>
      </c>
      <c r="B12">
        <f t="shared" si="0"/>
        <v>12.32848</v>
      </c>
      <c r="C12">
        <f>8+Sheet1!$F$14*A12^2</f>
        <v>14.9981871470129</v>
      </c>
    </row>
    <row r="13" spans="1:10">
      <c r="A13">
        <v>88</v>
      </c>
      <c r="B13">
        <f t="shared" si="0"/>
        <v>11.09789888</v>
      </c>
      <c r="C13">
        <f>8+Sheet1!$F$14*A13^2</f>
        <v>16.4678064478856</v>
      </c>
    </row>
    <row r="14" spans="1:10">
      <c r="A14">
        <v>96</v>
      </c>
      <c r="B14">
        <f t="shared" si="0"/>
        <v>9.58066944</v>
      </c>
      <c r="C14">
        <f>8+Sheet1!$F$14*A14^2</f>
        <v>18.0773894916986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3" sqref="F3"/>
    </sheetView>
  </sheetViews>
  <sheetFormatPr defaultColWidth="8.88888888888889" defaultRowHeight="14.4" outlineLevelCol="5"/>
  <cols>
    <col min="2" max="3" width="12.8888888888889"/>
    <col min="6" max="6" width="14.1111111111111"/>
  </cols>
  <sheetData>
    <row r="1" spans="1:6">
      <c r="A1" t="s">
        <v>18</v>
      </c>
      <c r="B1" t="s">
        <v>24</v>
      </c>
      <c r="C1" t="s">
        <v>22</v>
      </c>
      <c r="E1" t="s">
        <v>25</v>
      </c>
      <c r="F1">
        <v>66.5200534645158</v>
      </c>
    </row>
    <row r="2" spans="1:6">
      <c r="A2">
        <v>0</v>
      </c>
      <c r="B2">
        <f>9+Sheet1!$F$14*A2^2</f>
        <v>9</v>
      </c>
      <c r="C2">
        <f>15.6-0.00000996*A2^3+0.00039*A2^2-0.00835*A2</f>
        <v>15.6</v>
      </c>
      <c r="E2" t="s">
        <v>26</v>
      </c>
      <c r="F2">
        <f>15.6-0.00000996*F1^3+0.00039*F1^2-0.00835*F1</f>
        <v>13.8385917182359</v>
      </c>
    </row>
    <row r="3" spans="1:6">
      <c r="A3">
        <v>8</v>
      </c>
      <c r="B3">
        <f>9+Sheet1!$F$14*A3^2</f>
        <v>9.06998187147013</v>
      </c>
      <c r="C3">
        <f t="shared" ref="C3:C14" si="0">15.6-0.00000996*A3^3+0.00039*A3^2-0.00835*A3</f>
        <v>15.55306048</v>
      </c>
      <c r="E3" t="s">
        <v>27</v>
      </c>
      <c r="F3">
        <f>9+Sheet1!$F$14*F1^2</f>
        <v>13.838500135238</v>
      </c>
    </row>
    <row r="4" spans="1:6">
      <c r="A4">
        <v>16</v>
      </c>
      <c r="B4">
        <f>9+Sheet1!$F$14*A4^2</f>
        <v>9.27992748588052</v>
      </c>
      <c r="C4">
        <f t="shared" si="0"/>
        <v>15.52544384</v>
      </c>
      <c r="E4" t="s">
        <v>23</v>
      </c>
      <c r="F4">
        <f>F2-F3</f>
        <v>9.15829978431759e-5</v>
      </c>
    </row>
    <row r="5" spans="1:6">
      <c r="A5">
        <v>24</v>
      </c>
      <c r="B5">
        <f>9+Sheet1!$F$14*A5^2</f>
        <v>9.62983684323116</v>
      </c>
      <c r="C5">
        <f t="shared" si="0"/>
        <v>15.48655296</v>
      </c>
    </row>
    <row r="6" spans="1:6">
      <c r="A6">
        <v>32</v>
      </c>
      <c r="B6">
        <f>9+Sheet1!$F$14*A6^2</f>
        <v>10.1197099435221</v>
      </c>
      <c r="C6">
        <f t="shared" si="0"/>
        <v>15.40579072</v>
      </c>
    </row>
    <row r="7" spans="1:6">
      <c r="A7">
        <v>40</v>
      </c>
      <c r="B7">
        <f>9+Sheet1!$F$14*A7^2</f>
        <v>10.7495467867532</v>
      </c>
      <c r="C7">
        <f t="shared" si="0"/>
        <v>15.25256</v>
      </c>
    </row>
    <row r="8" spans="1:6">
      <c r="A8">
        <v>48</v>
      </c>
      <c r="B8">
        <f>9+Sheet1!$F$14*A8^2</f>
        <v>11.5193473729246</v>
      </c>
      <c r="C8">
        <f t="shared" si="0"/>
        <v>14.99626368</v>
      </c>
    </row>
    <row r="9" spans="1:6">
      <c r="A9">
        <v>56</v>
      </c>
      <c r="B9">
        <f>9+Sheet1!$F$14*A9^2</f>
        <v>12.4291117020363</v>
      </c>
      <c r="C9">
        <f t="shared" si="0"/>
        <v>14.60630464</v>
      </c>
    </row>
    <row r="10" spans="1:6">
      <c r="A10">
        <v>64</v>
      </c>
      <c r="B10">
        <f>9+Sheet1!$F$14*A10^2</f>
        <v>13.4788397740883</v>
      </c>
      <c r="C10">
        <f t="shared" si="0"/>
        <v>14.05208576</v>
      </c>
    </row>
    <row r="11" spans="1:6">
      <c r="A11">
        <v>72</v>
      </c>
      <c r="B11">
        <f>9+Sheet1!$F$14*A11^2</f>
        <v>14.6685315890804</v>
      </c>
      <c r="C11">
        <f t="shared" si="0"/>
        <v>13.30300992</v>
      </c>
    </row>
    <row r="12" spans="1:6">
      <c r="A12">
        <v>80</v>
      </c>
      <c r="B12">
        <f>9+Sheet1!$F$14*A12^2</f>
        <v>15.9981871470129</v>
      </c>
      <c r="C12">
        <f t="shared" si="0"/>
        <v>12.32848</v>
      </c>
    </row>
    <row r="13" spans="1:6">
      <c r="A13">
        <v>88</v>
      </c>
      <c r="B13">
        <f>9+Sheet1!$F$14*A13^2</f>
        <v>17.4678064478856</v>
      </c>
      <c r="C13">
        <f t="shared" si="0"/>
        <v>11.09789888</v>
      </c>
    </row>
    <row r="14" spans="1:6">
      <c r="A14">
        <v>96</v>
      </c>
      <c r="B14">
        <f>9+Sheet1!$F$14*A14^2</f>
        <v>19.0773894916986</v>
      </c>
      <c r="C14">
        <f t="shared" si="0"/>
        <v>9.58066944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3" sqref="F3"/>
    </sheetView>
  </sheetViews>
  <sheetFormatPr defaultColWidth="8.88888888888889" defaultRowHeight="14.4" outlineLevelCol="5"/>
  <cols>
    <col min="3" max="3" width="12.8888888888889"/>
    <col min="6" max="6" width="14.1111111111111"/>
  </cols>
  <sheetData>
    <row r="1" spans="1:6">
      <c r="A1" t="s">
        <v>18</v>
      </c>
      <c r="B1" t="s">
        <v>28</v>
      </c>
      <c r="C1" t="s">
        <v>19</v>
      </c>
      <c r="E1" t="s">
        <v>25</v>
      </c>
      <c r="F1">
        <v>57.2019221255134</v>
      </c>
    </row>
    <row r="2" spans="1:6">
      <c r="A2">
        <v>0</v>
      </c>
      <c r="B2">
        <f>8+0.002*A2^2</f>
        <v>8</v>
      </c>
      <c r="C2">
        <f>15.6-0.00000996*A2^3+0.00039*A2^2-0.00835*A2</f>
        <v>15.6</v>
      </c>
      <c r="E2" t="s">
        <v>26</v>
      </c>
      <c r="F2">
        <f>-0.00000996*F1^3+0.000393*F1^2-0.00835*F1+15.6</f>
        <v>14.544089060587</v>
      </c>
    </row>
    <row r="3" spans="1:6">
      <c r="A3">
        <v>8</v>
      </c>
      <c r="B3">
        <f t="shared" ref="B3:B14" si="0">8+0.002*A3^2</f>
        <v>8.128</v>
      </c>
      <c r="C3">
        <f>15.6-0.00000996*A3^3+0.00039*A3^2-0.00835*A3</f>
        <v>15.55306048</v>
      </c>
      <c r="E3" t="s">
        <v>27</v>
      </c>
      <c r="F3">
        <f>8+0.002*F1^2</f>
        <v>14.5441197897066</v>
      </c>
    </row>
    <row r="4" spans="1:6">
      <c r="A4">
        <v>16</v>
      </c>
      <c r="B4">
        <f t="shared" si="0"/>
        <v>8.512</v>
      </c>
      <c r="C4">
        <f t="shared" ref="C3:C14" si="1">15.6-0.00000996*A4^3+0.00039*A4^2-0.00835*A4</f>
        <v>15.52544384</v>
      </c>
      <c r="E4" t="s">
        <v>23</v>
      </c>
      <c r="F4">
        <f>F2-F3</f>
        <v>-3.07291196257609e-5</v>
      </c>
    </row>
    <row r="5" spans="1:6">
      <c r="A5">
        <v>24</v>
      </c>
      <c r="B5">
        <f t="shared" si="0"/>
        <v>9.152</v>
      </c>
      <c r="C5">
        <f t="shared" si="1"/>
        <v>15.48655296</v>
      </c>
    </row>
    <row r="6" spans="1:6">
      <c r="A6">
        <v>32</v>
      </c>
      <c r="B6">
        <f t="shared" si="0"/>
        <v>10.048</v>
      </c>
      <c r="C6">
        <f t="shared" si="1"/>
        <v>15.40579072</v>
      </c>
    </row>
    <row r="7" spans="1:6">
      <c r="A7">
        <v>40</v>
      </c>
      <c r="B7">
        <f t="shared" si="0"/>
        <v>11.2</v>
      </c>
      <c r="C7">
        <f t="shared" si="1"/>
        <v>15.25256</v>
      </c>
    </row>
    <row r="8" spans="1:6">
      <c r="A8">
        <v>48</v>
      </c>
      <c r="B8">
        <f t="shared" si="0"/>
        <v>12.608</v>
      </c>
      <c r="C8">
        <f t="shared" si="1"/>
        <v>14.99626368</v>
      </c>
    </row>
    <row r="9" spans="1:6">
      <c r="A9">
        <v>56</v>
      </c>
      <c r="B9">
        <f t="shared" si="0"/>
        <v>14.272</v>
      </c>
      <c r="C9">
        <f t="shared" si="1"/>
        <v>14.60630464</v>
      </c>
    </row>
    <row r="10" spans="1:6">
      <c r="A10">
        <v>64</v>
      </c>
      <c r="B10">
        <f t="shared" si="0"/>
        <v>16.192</v>
      </c>
      <c r="C10">
        <f t="shared" si="1"/>
        <v>14.05208576</v>
      </c>
    </row>
    <row r="11" spans="1:6">
      <c r="A11">
        <v>72</v>
      </c>
      <c r="B11">
        <f t="shared" si="0"/>
        <v>18.368</v>
      </c>
      <c r="C11">
        <f t="shared" si="1"/>
        <v>13.30300992</v>
      </c>
    </row>
    <row r="12" spans="1:6">
      <c r="A12">
        <v>80</v>
      </c>
      <c r="B12">
        <f t="shared" si="0"/>
        <v>20.8</v>
      </c>
      <c r="C12">
        <f t="shared" si="1"/>
        <v>12.32848</v>
      </c>
    </row>
    <row r="13" spans="1:6">
      <c r="A13">
        <v>88</v>
      </c>
      <c r="B13">
        <f t="shared" si="0"/>
        <v>23.488</v>
      </c>
      <c r="C13">
        <f t="shared" si="1"/>
        <v>11.09789888</v>
      </c>
    </row>
    <row r="14" spans="1:6">
      <c r="A14">
        <v>96</v>
      </c>
      <c r="B14">
        <f t="shared" si="0"/>
        <v>26.432</v>
      </c>
      <c r="C14">
        <f t="shared" si="1"/>
        <v>9.58066944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tabSelected="1" topLeftCell="L1" workbookViewId="0">
      <selection activeCell="Q8" sqref="Q8"/>
    </sheetView>
  </sheetViews>
  <sheetFormatPr defaultColWidth="8.88888888888889" defaultRowHeight="14.4"/>
  <cols>
    <col min="2" max="2" width="12.8888888888889"/>
    <col min="6" max="6" width="12.8888888888889"/>
    <col min="7" max="7" width="9.66666666666667"/>
    <col min="9" max="10" width="12.8888888888889"/>
    <col min="15" max="15" width="12.8888888888889"/>
    <col min="16" max="16" width="14.1111111111111"/>
    <col min="17" max="17" width="12.8888888888889"/>
    <col min="20" max="23" width="12.8888888888889"/>
  </cols>
  <sheetData>
    <row r="1" spans="1:23">
      <c r="A1" t="s">
        <v>29</v>
      </c>
      <c r="B1">
        <v>3.2</v>
      </c>
      <c r="E1" t="s">
        <v>18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T1" t="s">
        <v>42</v>
      </c>
      <c r="U1" t="s">
        <v>43</v>
      </c>
      <c r="V1" t="s">
        <v>44</v>
      </c>
      <c r="W1" t="s">
        <v>45</v>
      </c>
    </row>
    <row r="2" spans="1:23">
      <c r="A2" t="s">
        <v>37</v>
      </c>
      <c r="B2">
        <v>997</v>
      </c>
      <c r="E2">
        <v>0</v>
      </c>
      <c r="F2">
        <f>(101.325-$B$1)*1000/($B$2*9.81)+$B$3-G2</f>
        <v>8.03264635905678</v>
      </c>
      <c r="G2">
        <f>$B$5*E2^2</f>
        <v>0</v>
      </c>
      <c r="H2">
        <v>3.1</v>
      </c>
      <c r="I2">
        <f>F2-H2</f>
        <v>4.93264635905678</v>
      </c>
      <c r="J2">
        <f>F2/H2</f>
        <v>2.59117624485703</v>
      </c>
      <c r="L2">
        <v>25</v>
      </c>
      <c r="M2">
        <v>3.2</v>
      </c>
      <c r="N2">
        <v>997</v>
      </c>
      <c r="O2">
        <f>(101.325-M2)*1000/(N2*9.81)+$B$3-$B$5*$B$7^2</f>
        <v>7.74587330521096</v>
      </c>
      <c r="P2">
        <f>O2-$B$8</f>
        <v>4.03587330521096</v>
      </c>
      <c r="Q2">
        <f>O2/$B$8</f>
        <v>2.08783647040727</v>
      </c>
      <c r="R2" t="str">
        <f>IF(Q2&lt;1,"Cavitates",IF(Q2&lt;1.3,"Marginal","Safe"))</f>
        <v>Safe</v>
      </c>
      <c r="T2">
        <f>(101.325-$M$3)*1000/($N$3*9.81)+$B$3-G2</f>
        <v>6.44374758250088</v>
      </c>
      <c r="U2">
        <f>(101.325-$M$6)*1000/($N$6*9.81)+$B$3-G2</f>
        <v>3.65529001648608</v>
      </c>
      <c r="V2">
        <f>(101.325-$M$4)*1000/($N$4*9.81)+$B$3-G2</f>
        <v>5.30911865318349</v>
      </c>
      <c r="W2">
        <f>(101.325-$M$5)*1000/($N$5*9.81)+$B$3-G2</f>
        <v>4.55793408086986</v>
      </c>
    </row>
    <row r="3" spans="1:23">
      <c r="A3" t="s">
        <v>46</v>
      </c>
      <c r="B3" s="5">
        <v>-2</v>
      </c>
      <c r="E3">
        <v>8</v>
      </c>
      <c r="F3">
        <f t="shared" ref="F3:F14" si="0">(101.325-$B$1)*1000/($B$2*9.81)+$B$3-G3</f>
        <v>8.02896310266362</v>
      </c>
      <c r="G3">
        <f t="shared" ref="G3:G14" si="1">$B$5*E3^2</f>
        <v>0.00368325639316468</v>
      </c>
      <c r="H3">
        <v>3.1</v>
      </c>
      <c r="I3">
        <f t="shared" ref="I3:I14" si="2">F3-H3</f>
        <v>4.92896310266362</v>
      </c>
      <c r="J3">
        <f t="shared" ref="J3:J14" si="3">F3/H3</f>
        <v>2.58998809763343</v>
      </c>
      <c r="L3">
        <v>60</v>
      </c>
      <c r="M3">
        <v>19.9</v>
      </c>
      <c r="N3">
        <v>983</v>
      </c>
      <c r="O3">
        <f>(101.325-M3)*1000/(N3*9.81)+$B$3-$B$5*$B$7^2</f>
        <v>6.15697452865506</v>
      </c>
      <c r="P3">
        <f>O3-$B$8</f>
        <v>2.44697452865506</v>
      </c>
      <c r="Q3">
        <f>O3/$B$8</f>
        <v>1.65956186756201</v>
      </c>
      <c r="R3" t="str">
        <f>IF(Q3&lt;1,"Cavitates",IF(Q3&lt;1.3,"Marginal","Safe"))</f>
        <v>Safe</v>
      </c>
      <c r="T3">
        <f t="shared" ref="T3:T14" si="4">(101.325-$M$3)*1000/($N$3*9.81)+$B$3-G3</f>
        <v>6.44006432610772</v>
      </c>
      <c r="U3">
        <f t="shared" ref="U3:U14" si="5">(101.325-$M$6)*1000/($N$6*9.81)+$B$3-G3</f>
        <v>3.65160676009291</v>
      </c>
      <c r="V3">
        <f t="shared" ref="V3:V14" si="6">(101.325-$M$4)*1000/($N$4*9.81)+$B$3-G3</f>
        <v>5.30543539679033</v>
      </c>
      <c r="W3">
        <f t="shared" ref="W3:W14" si="7">(101.325-$M$5)*1000/($N$5*9.81)+$B$3-G3</f>
        <v>4.5542508244767</v>
      </c>
    </row>
    <row r="4" spans="1:23">
      <c r="E4">
        <v>16</v>
      </c>
      <c r="F4">
        <f t="shared" si="0"/>
        <v>8.01791333348413</v>
      </c>
      <c r="G4">
        <f t="shared" si="1"/>
        <v>0.0147330255726587</v>
      </c>
      <c r="H4">
        <v>3.1</v>
      </c>
      <c r="I4">
        <f t="shared" si="2"/>
        <v>4.91791333348413</v>
      </c>
      <c r="J4">
        <f t="shared" si="3"/>
        <v>2.58642365596262</v>
      </c>
      <c r="L4">
        <v>70</v>
      </c>
      <c r="M4">
        <v>31.2</v>
      </c>
      <c r="N4">
        <v>978</v>
      </c>
      <c r="O4">
        <f>(101.325-M4)*1000/(N4*9.81)+$B$3-$B$5*$B$7^2</f>
        <v>5.02234559933767</v>
      </c>
      <c r="P4">
        <f>O4-$B$8</f>
        <v>1.31234559933767</v>
      </c>
      <c r="Q4">
        <f>O4/$B$8</f>
        <v>1.35373196747646</v>
      </c>
      <c r="R4" t="str">
        <f>IF(Q4&lt;1,"Cavitates",IF(Q4&lt;1.3,"Marginal","Safe"))</f>
        <v>Safe</v>
      </c>
      <c r="T4">
        <f t="shared" si="4"/>
        <v>6.42901455692823</v>
      </c>
      <c r="U4">
        <f t="shared" si="5"/>
        <v>3.64055699091342</v>
      </c>
      <c r="V4">
        <f t="shared" si="6"/>
        <v>5.29438562761083</v>
      </c>
      <c r="W4">
        <f t="shared" si="7"/>
        <v>4.5432010552972</v>
      </c>
    </row>
    <row r="5" spans="1:23">
      <c r="A5" t="s">
        <v>17</v>
      </c>
      <c r="B5">
        <f>Sheet1!$F$15</f>
        <v>5.75508811431981e-5</v>
      </c>
      <c r="E5">
        <v>24</v>
      </c>
      <c r="F5">
        <f t="shared" si="0"/>
        <v>7.9994970515183</v>
      </c>
      <c r="G5">
        <f t="shared" si="1"/>
        <v>0.0331493075384821</v>
      </c>
      <c r="H5">
        <v>3.1</v>
      </c>
      <c r="I5">
        <f t="shared" si="2"/>
        <v>4.8994970515183</v>
      </c>
      <c r="J5">
        <f t="shared" si="3"/>
        <v>2.58048291984461</v>
      </c>
      <c r="L5">
        <v>75</v>
      </c>
      <c r="M5">
        <v>38.6</v>
      </c>
      <c r="N5">
        <v>975</v>
      </c>
      <c r="O5">
        <f>(101.325-M5)*1000/(N5*9.81)+$B$3-$B$5*$B$7^2</f>
        <v>4.27116102702404</v>
      </c>
      <c r="P5">
        <f>O5-$B$8</f>
        <v>0.561161027024036</v>
      </c>
      <c r="Q5">
        <f>O5/$B$8</f>
        <v>1.15125634151591</v>
      </c>
      <c r="R5" t="str">
        <f>IF(Q5&lt;1,"Cavitates",IF(Q5&lt;1.3,"Marginal","Safe"))</f>
        <v>Marginal</v>
      </c>
      <c r="T5">
        <f t="shared" si="4"/>
        <v>6.4105982749624</v>
      </c>
      <c r="U5">
        <f t="shared" si="5"/>
        <v>3.62214070894759</v>
      </c>
      <c r="V5">
        <f t="shared" si="6"/>
        <v>5.27596934564501</v>
      </c>
      <c r="W5">
        <f t="shared" si="7"/>
        <v>4.52478477333138</v>
      </c>
    </row>
    <row r="6" spans="1:23">
      <c r="E6">
        <v>32</v>
      </c>
      <c r="F6">
        <f t="shared" si="0"/>
        <v>7.97371425676615</v>
      </c>
      <c r="G6">
        <f t="shared" si="1"/>
        <v>0.0589321022906349</v>
      </c>
      <c r="H6">
        <v>3.1</v>
      </c>
      <c r="I6">
        <f t="shared" si="2"/>
        <v>4.87371425676615</v>
      </c>
      <c r="J6">
        <f t="shared" si="3"/>
        <v>2.5721658892794</v>
      </c>
      <c r="L6">
        <v>80</v>
      </c>
      <c r="M6">
        <v>47.4</v>
      </c>
      <c r="N6">
        <v>972</v>
      </c>
      <c r="O6">
        <f>(101.325-M6)*1000/(N6*9.81)+$B$3-$B$5*$B$7^2</f>
        <v>3.36851696264025</v>
      </c>
      <c r="P6">
        <f>O6-$B$8</f>
        <v>-0.341483037359749</v>
      </c>
      <c r="Q6">
        <f>O6/$B$8</f>
        <v>0.907956054620014</v>
      </c>
      <c r="R6" t="str">
        <f>IF(Q6&lt;1,"Cavitates",IF(Q6&lt;1.3,"Marginal","Safe"))</f>
        <v>Cavitates</v>
      </c>
      <c r="T6">
        <f t="shared" si="4"/>
        <v>6.38481548021025</v>
      </c>
      <c r="U6">
        <f t="shared" si="5"/>
        <v>3.59635791419544</v>
      </c>
      <c r="V6">
        <f t="shared" si="6"/>
        <v>5.25018655089286</v>
      </c>
      <c r="W6">
        <f t="shared" si="7"/>
        <v>4.49900197857923</v>
      </c>
    </row>
    <row r="7" spans="1:23">
      <c r="A7" t="s">
        <v>47</v>
      </c>
      <c r="B7">
        <v>70.59</v>
      </c>
      <c r="E7">
        <v>40</v>
      </c>
      <c r="F7">
        <f t="shared" si="0"/>
        <v>7.94056494922767</v>
      </c>
      <c r="G7">
        <f t="shared" si="1"/>
        <v>0.092081409829117</v>
      </c>
      <c r="H7">
        <v>3.1</v>
      </c>
      <c r="I7">
        <f t="shared" si="2"/>
        <v>4.84056494922767</v>
      </c>
      <c r="J7">
        <f t="shared" si="3"/>
        <v>2.56147256426699</v>
      </c>
      <c r="L7">
        <v>90</v>
      </c>
      <c r="M7">
        <v>70.1</v>
      </c>
      <c r="N7">
        <v>965</v>
      </c>
      <c r="O7">
        <f>(101.325-M7)*1000/(N7*9.81)+$B$3-$B$5*$B$7^2</f>
        <v>1.01164824619168</v>
      </c>
      <c r="P7">
        <f>O7-$B$8</f>
        <v>-2.69835175380832</v>
      </c>
      <c r="Q7">
        <f>O7/$B$8</f>
        <v>0.272681467976193</v>
      </c>
      <c r="R7" t="str">
        <f>IF(Q7&lt;1,"Cavitates",IF(Q7&lt;1.3,"Marginal","Safe"))</f>
        <v>Cavitates</v>
      </c>
      <c r="T7">
        <f t="shared" si="4"/>
        <v>6.35166617267177</v>
      </c>
      <c r="U7">
        <f t="shared" si="5"/>
        <v>3.56320860665696</v>
      </c>
      <c r="V7">
        <f t="shared" si="6"/>
        <v>5.21703724335438</v>
      </c>
      <c r="W7">
        <f t="shared" si="7"/>
        <v>4.46585267104074</v>
      </c>
    </row>
    <row r="8" spans="1:23">
      <c r="A8" t="s">
        <v>48</v>
      </c>
      <c r="B8">
        <v>3.71</v>
      </c>
      <c r="E8">
        <v>48</v>
      </c>
      <c r="F8">
        <f t="shared" si="0"/>
        <v>7.90004912890286</v>
      </c>
      <c r="G8">
        <f t="shared" si="1"/>
        <v>0.132597230153928</v>
      </c>
      <c r="H8">
        <v>3.1</v>
      </c>
      <c r="I8">
        <f t="shared" si="2"/>
        <v>4.80004912890286</v>
      </c>
      <c r="J8">
        <f t="shared" si="3"/>
        <v>2.54840294480737</v>
      </c>
      <c r="T8">
        <f t="shared" si="4"/>
        <v>6.31115035234696</v>
      </c>
      <c r="U8">
        <f t="shared" si="5"/>
        <v>3.52269278633215</v>
      </c>
      <c r="V8">
        <f t="shared" si="6"/>
        <v>5.17652142302956</v>
      </c>
      <c r="W8">
        <f t="shared" si="7"/>
        <v>4.42533685071593</v>
      </c>
    </row>
    <row r="9" spans="1:23">
      <c r="E9">
        <v>56</v>
      </c>
      <c r="F9">
        <f t="shared" si="0"/>
        <v>7.85216679579171</v>
      </c>
      <c r="G9">
        <f t="shared" si="1"/>
        <v>0.180479563265069</v>
      </c>
      <c r="H9">
        <v>3.1</v>
      </c>
      <c r="I9">
        <f t="shared" si="2"/>
        <v>4.75216679579171</v>
      </c>
      <c r="J9">
        <f t="shared" si="3"/>
        <v>2.53295703090055</v>
      </c>
      <c r="T9">
        <f t="shared" si="4"/>
        <v>6.26326801923582</v>
      </c>
      <c r="U9">
        <f t="shared" si="5"/>
        <v>3.47481045322101</v>
      </c>
      <c r="V9">
        <f t="shared" si="6"/>
        <v>5.12863908991842</v>
      </c>
      <c r="W9">
        <f t="shared" si="7"/>
        <v>4.37745451760479</v>
      </c>
    </row>
    <row r="10" spans="1:23">
      <c r="E10">
        <v>64</v>
      </c>
      <c r="F10">
        <f t="shared" si="0"/>
        <v>7.79691794989424</v>
      </c>
      <c r="G10">
        <f t="shared" si="1"/>
        <v>0.23572840916254</v>
      </c>
      <c r="H10">
        <v>3.3</v>
      </c>
      <c r="I10">
        <f t="shared" si="2"/>
        <v>4.49691794989424</v>
      </c>
      <c r="J10">
        <f t="shared" si="3"/>
        <v>2.36270240905886</v>
      </c>
      <c r="T10">
        <f t="shared" si="4"/>
        <v>6.20801917333835</v>
      </c>
      <c r="U10">
        <f t="shared" si="5"/>
        <v>3.41956160732354</v>
      </c>
      <c r="V10">
        <f t="shared" si="6"/>
        <v>5.07339024402095</v>
      </c>
      <c r="W10">
        <f t="shared" si="7"/>
        <v>4.32220567170732</v>
      </c>
    </row>
    <row r="11" spans="1:23">
      <c r="E11">
        <v>72</v>
      </c>
      <c r="F11">
        <f t="shared" si="0"/>
        <v>7.73430259121044</v>
      </c>
      <c r="G11">
        <f t="shared" si="1"/>
        <v>0.298343767846339</v>
      </c>
      <c r="H11">
        <v>3.8</v>
      </c>
      <c r="I11">
        <f t="shared" si="2"/>
        <v>3.93430259121044</v>
      </c>
      <c r="J11">
        <f t="shared" si="3"/>
        <v>2.03534278716064</v>
      </c>
      <c r="T11">
        <f t="shared" si="4"/>
        <v>6.14540381465455</v>
      </c>
      <c r="U11">
        <f t="shared" si="5"/>
        <v>3.35694624863974</v>
      </c>
      <c r="V11">
        <f t="shared" si="6"/>
        <v>5.01077488533715</v>
      </c>
      <c r="W11">
        <f t="shared" si="7"/>
        <v>4.25959031302352</v>
      </c>
    </row>
    <row r="12" spans="1:23">
      <c r="E12">
        <v>80</v>
      </c>
      <c r="F12">
        <f t="shared" si="0"/>
        <v>7.66432071974032</v>
      </c>
      <c r="G12">
        <f t="shared" si="1"/>
        <v>0.368325639316468</v>
      </c>
      <c r="H12">
        <v>4.2</v>
      </c>
      <c r="I12">
        <f t="shared" si="2"/>
        <v>3.46432071974032</v>
      </c>
      <c r="J12">
        <f t="shared" si="3"/>
        <v>1.82483826660484</v>
      </c>
      <c r="T12">
        <f t="shared" si="4"/>
        <v>6.07542194318442</v>
      </c>
      <c r="U12">
        <f t="shared" si="5"/>
        <v>3.28696437716961</v>
      </c>
      <c r="V12">
        <f t="shared" si="6"/>
        <v>4.94079301386702</v>
      </c>
      <c r="W12">
        <f t="shared" si="7"/>
        <v>4.18960844155339</v>
      </c>
    </row>
    <row r="13" spans="1:23">
      <c r="E13">
        <v>88</v>
      </c>
      <c r="F13">
        <f t="shared" si="0"/>
        <v>7.58697233548386</v>
      </c>
      <c r="G13">
        <f t="shared" si="1"/>
        <v>0.445674023572926</v>
      </c>
      <c r="H13">
        <v>5.3</v>
      </c>
      <c r="I13">
        <f t="shared" si="2"/>
        <v>2.28697233548386</v>
      </c>
      <c r="J13">
        <f t="shared" si="3"/>
        <v>1.43150421424224</v>
      </c>
      <c r="T13">
        <f t="shared" si="4"/>
        <v>5.99807355892796</v>
      </c>
      <c r="U13">
        <f t="shared" si="5"/>
        <v>3.20961599291315</v>
      </c>
      <c r="V13">
        <f t="shared" si="6"/>
        <v>4.86344462961057</v>
      </c>
      <c r="W13">
        <f t="shared" si="7"/>
        <v>4.11226005729693</v>
      </c>
    </row>
    <row r="14" spans="1:23">
      <c r="E14">
        <v>96</v>
      </c>
      <c r="F14">
        <f t="shared" si="0"/>
        <v>7.50225743844107</v>
      </c>
      <c r="G14">
        <f t="shared" si="1"/>
        <v>0.530388920615714</v>
      </c>
      <c r="H14">
        <v>6.3</v>
      </c>
      <c r="I14">
        <f t="shared" si="2"/>
        <v>1.20225743844107</v>
      </c>
      <c r="J14">
        <f t="shared" si="3"/>
        <v>1.19083451403827</v>
      </c>
      <c r="T14">
        <f t="shared" si="4"/>
        <v>5.91335866188517</v>
      </c>
      <c r="U14">
        <f t="shared" si="5"/>
        <v>3.12490109587036</v>
      </c>
      <c r="V14">
        <f t="shared" si="6"/>
        <v>4.77872973256778</v>
      </c>
      <c r="W14">
        <f t="shared" si="7"/>
        <v>4.02754516025415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opLeftCell="A15" workbookViewId="0">
      <selection activeCell="C29" sqref="C29"/>
    </sheetView>
  </sheetViews>
  <sheetFormatPr defaultColWidth="8.88888888888889" defaultRowHeight="14.4" outlineLevelRow="7" outlineLevelCol="7"/>
  <cols>
    <col min="1" max="1" width="11.7777777777778" customWidth="1"/>
    <col min="2" max="4" width="20.7777777777778" customWidth="1"/>
  </cols>
  <sheetData>
    <row r="1" ht="31.2" spans="1: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ht="124.8" spans="1:8">
      <c r="A2" s="1" t="s">
        <v>57</v>
      </c>
      <c r="B2" s="2" t="s">
        <v>58</v>
      </c>
      <c r="C2" s="2" t="s">
        <v>59</v>
      </c>
      <c r="D2" s="2" t="s">
        <v>60</v>
      </c>
      <c r="E2" s="3">
        <v>8</v>
      </c>
      <c r="F2" s="3">
        <v>5</v>
      </c>
      <c r="G2" s="3">
        <v>5</v>
      </c>
      <c r="H2" s="4">
        <v>200</v>
      </c>
    </row>
    <row r="3" ht="62.4" spans="1:8">
      <c r="A3" s="2" t="s">
        <v>61</v>
      </c>
      <c r="B3" s="2" t="s">
        <v>62</v>
      </c>
      <c r="C3" s="2" t="s">
        <v>63</v>
      </c>
      <c r="D3" s="2" t="s">
        <v>64</v>
      </c>
      <c r="E3" s="3">
        <v>6</v>
      </c>
      <c r="F3" s="3">
        <v>5</v>
      </c>
      <c r="G3" s="3">
        <v>6</v>
      </c>
      <c r="H3" s="4">
        <v>180</v>
      </c>
    </row>
    <row r="4" ht="62.4" spans="1:8">
      <c r="A4" s="2" t="s">
        <v>65</v>
      </c>
      <c r="B4" s="2" t="s">
        <v>66</v>
      </c>
      <c r="C4" s="2" t="s">
        <v>67</v>
      </c>
      <c r="D4" s="2" t="s">
        <v>68</v>
      </c>
      <c r="E4" s="3">
        <v>7</v>
      </c>
      <c r="F4" s="3">
        <v>6</v>
      </c>
      <c r="G4" s="3">
        <v>4</v>
      </c>
      <c r="H4" s="4">
        <v>168</v>
      </c>
    </row>
    <row r="5" ht="78" spans="1:8">
      <c r="A5" s="2" t="s">
        <v>69</v>
      </c>
      <c r="B5" s="2" t="s">
        <v>70</v>
      </c>
      <c r="C5" s="2" t="s">
        <v>71</v>
      </c>
      <c r="D5" s="2" t="s">
        <v>72</v>
      </c>
      <c r="E5" s="3">
        <v>9</v>
      </c>
      <c r="F5" s="3">
        <v>4</v>
      </c>
      <c r="G5" s="3">
        <v>4</v>
      </c>
      <c r="H5" s="4">
        <v>144</v>
      </c>
    </row>
    <row r="6" ht="46.8" spans="1:8">
      <c r="A6" s="2" t="s">
        <v>73</v>
      </c>
      <c r="B6" s="2" t="s">
        <v>74</v>
      </c>
      <c r="C6" s="2" t="s">
        <v>75</v>
      </c>
      <c r="D6" s="2" t="s">
        <v>76</v>
      </c>
      <c r="E6" s="3">
        <v>7</v>
      </c>
      <c r="F6" s="3">
        <v>4</v>
      </c>
      <c r="G6" s="3">
        <v>5</v>
      </c>
      <c r="H6" s="4">
        <v>140</v>
      </c>
    </row>
    <row r="7" ht="46.8" spans="1:8">
      <c r="A7" s="2" t="s">
        <v>77</v>
      </c>
      <c r="B7" s="2" t="s">
        <v>78</v>
      </c>
      <c r="C7" s="2" t="s">
        <v>79</v>
      </c>
      <c r="D7" s="2" t="s">
        <v>80</v>
      </c>
      <c r="E7" s="3">
        <v>5</v>
      </c>
      <c r="F7" s="3">
        <v>6</v>
      </c>
      <c r="G7" s="3">
        <v>3</v>
      </c>
      <c r="H7" s="4">
        <v>90</v>
      </c>
    </row>
    <row r="8" ht="46.8" spans="1:8">
      <c r="A8" s="2" t="s">
        <v>81</v>
      </c>
      <c r="B8" s="2" t="s">
        <v>82</v>
      </c>
      <c r="C8" s="2" t="s">
        <v>83</v>
      </c>
      <c r="D8" s="2" t="s">
        <v>84</v>
      </c>
      <c r="E8" s="3">
        <v>5</v>
      </c>
      <c r="F8" s="3">
        <v>6</v>
      </c>
      <c r="G8" s="3">
        <v>3</v>
      </c>
      <c r="H8" s="4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demit</dc:creator>
  <cp:lastModifiedBy>Godwin Dixon</cp:lastModifiedBy>
  <dcterms:created xsi:type="dcterms:W3CDTF">2026-10-12T19:25:05Z</dcterms:created>
  <dcterms:modified xsi:type="dcterms:W3CDTF">2026-10-22T01:45:35Z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A266AE7D1E694686B2A068E43ED94392_11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